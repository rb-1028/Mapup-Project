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13e99751e6c1ecd/Desktop/MapUp-Data-Assessment-F-main/"/>
    </mc:Choice>
  </mc:AlternateContent>
  <xr:revisionPtr revIDLastSave="88" documentId="13_ncr:1_{48EB4397-F178-E54E-B28D-22A41FCA72D2}" xr6:coauthVersionLast="47" xr6:coauthVersionMax="47" xr10:uidLastSave="{44543557-6D5E-4AF7-9D2A-794DC9609140}"/>
  <bookViews>
    <workbookView xWindow="-98" yWindow="-98" windowWidth="24196" windowHeight="151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 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8" l="1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C5" i="15"/>
</calcChain>
</file>

<file path=xl/sharedStrings.xml><?xml version="1.0" encoding="utf-8"?>
<sst xmlns="http://schemas.openxmlformats.org/spreadsheetml/2006/main" count="540" uniqueCount="176">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</sst>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0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70" fontId="3" fillId="0" borderId="0" xfId="0" applyNumberFormat="1" applyFont="1"/>
    <xf numFmtId="170" fontId="7" fillId="0" borderId="0" xfId="0" applyNumberFormat="1" applyFont="1" applyAlignment="1">
      <alignment horizontal="left"/>
    </xf>
    <xf numFmtId="170" fontId="3" fillId="0" borderId="0" xfId="0" applyNumberFormat="1" applyFont="1" applyAlignment="1">
      <alignment horizontal="left"/>
    </xf>
    <xf numFmtId="0" fontId="0" fillId="0" borderId="0" xfId="0" applyNumberForma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A094C18-224F-48DE-90AD-27B9426A4173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Qi2kRJJqQ1pxws3VHiFa6&quot;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 codeName="Sheet1">
    <tabColor theme="9" tint="0.39997558519241921"/>
  </sheetPr>
  <dimension ref="A1:C15"/>
  <sheetViews>
    <sheetView zoomScaleNormal="100" workbookViewId="0"/>
  </sheetViews>
  <sheetFormatPr defaultColWidth="11" defaultRowHeight="13.15" x14ac:dyDescent="0.4"/>
  <cols>
    <col min="1" max="1" width="70.78515625" style="2" bestFit="1" customWidth="1"/>
    <col min="2" max="16384" width="11" style="2"/>
  </cols>
  <sheetData>
    <row r="1" spans="1:3" ht="18" x14ac:dyDescent="0.55000000000000004">
      <c r="A1" s="39" t="s">
        <v>107</v>
      </c>
    </row>
    <row r="2" spans="1:3" x14ac:dyDescent="0.4">
      <c r="A2" s="2" t="s">
        <v>108</v>
      </c>
    </row>
    <row r="3" spans="1:3" x14ac:dyDescent="0.4">
      <c r="A3" s="2" t="s">
        <v>109</v>
      </c>
    </row>
    <row r="4" spans="1:3" ht="14.25" x14ac:dyDescent="0.45">
      <c r="A4" s="2" t="s">
        <v>110</v>
      </c>
      <c r="C4" s="1"/>
    </row>
    <row r="5" spans="1:3" x14ac:dyDescent="0.4">
      <c r="A5" s="2" t="s">
        <v>151</v>
      </c>
    </row>
    <row r="8" spans="1:3" x14ac:dyDescent="0.4">
      <c r="A8" s="2" t="s">
        <v>172</v>
      </c>
    </row>
    <row r="9" spans="1:3" x14ac:dyDescent="0.4">
      <c r="A9" s="36" t="s">
        <v>170</v>
      </c>
      <c r="B9" s="25" t="s">
        <v>168</v>
      </c>
    </row>
    <row r="10" spans="1:3" x14ac:dyDescent="0.4">
      <c r="A10" s="35" t="s">
        <v>171</v>
      </c>
      <c r="B10" s="37">
        <v>25</v>
      </c>
    </row>
    <row r="11" spans="1:3" x14ac:dyDescent="0.4">
      <c r="A11" s="35" t="s">
        <v>54</v>
      </c>
      <c r="B11" s="37">
        <v>30</v>
      </c>
    </row>
    <row r="12" spans="1:3" x14ac:dyDescent="0.4">
      <c r="A12" s="35" t="s">
        <v>55</v>
      </c>
      <c r="B12" s="37">
        <v>10</v>
      </c>
    </row>
    <row r="13" spans="1:3" x14ac:dyDescent="0.4">
      <c r="A13" s="35" t="s">
        <v>84</v>
      </c>
      <c r="B13" s="37">
        <v>20</v>
      </c>
    </row>
    <row r="14" spans="1:3" x14ac:dyDescent="0.4">
      <c r="A14" s="35" t="s">
        <v>97</v>
      </c>
      <c r="B14" s="37">
        <v>40</v>
      </c>
    </row>
    <row r="15" spans="1:3" x14ac:dyDescent="0.4">
      <c r="A15" s="38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40"/>
  <sheetViews>
    <sheetView zoomScaleNormal="100" workbookViewId="0">
      <selection sqref="A1:X40"/>
    </sheetView>
  </sheetViews>
  <sheetFormatPr defaultColWidth="9" defaultRowHeight="14.25" x14ac:dyDescent="0.45"/>
  <cols>
    <col min="1" max="1" width="25.42578125" style="1" bestFit="1" customWidth="1"/>
    <col min="2" max="2" width="7.42578125" style="1" bestFit="1" customWidth="1"/>
    <col min="3" max="3" width="9.78515625" style="1" bestFit="1" customWidth="1"/>
    <col min="4" max="4" width="11" style="23" customWidth="1"/>
    <col min="5" max="5" width="9.2109375" style="1" bestFit="1" customWidth="1"/>
    <col min="6" max="6" width="10.42578125" style="23" bestFit="1" customWidth="1"/>
    <col min="7" max="9" width="12.78515625" style="1" bestFit="1" customWidth="1"/>
    <col min="10" max="12" width="13" style="1" bestFit="1" customWidth="1"/>
    <col min="13" max="15" width="14.2109375" style="1" bestFit="1" customWidth="1"/>
    <col min="16" max="18" width="14.42578125" style="1" bestFit="1" customWidth="1"/>
    <col min="19" max="20" width="18.78515625" style="1" bestFit="1" customWidth="1"/>
    <col min="21" max="23" width="19" style="1" bestFit="1" customWidth="1"/>
    <col min="24" max="24" width="12.5703125" style="1" bestFit="1" customWidth="1"/>
    <col min="25" max="16384" width="9" style="1"/>
  </cols>
  <sheetData>
    <row r="1" spans="1:24" s="3" customFormat="1" ht="14.75" customHeight="1" x14ac:dyDescent="0.45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64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3" t="s">
        <v>104</v>
      </c>
    </row>
    <row r="2" spans="1:24" x14ac:dyDescent="0.4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4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4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4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4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4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4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4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4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4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4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4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4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4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4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4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4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4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4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4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4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4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x14ac:dyDescent="0.4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x14ac:dyDescent="0.4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 x14ac:dyDescent="0.4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x14ac:dyDescent="0.45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 x14ac:dyDescent="0.4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 x14ac:dyDescent="0.4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 x14ac:dyDescent="0.45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x14ac:dyDescent="0.4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 x14ac:dyDescent="0.4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x14ac:dyDescent="0.4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 x14ac:dyDescent="0.4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 x14ac:dyDescent="0.4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 x14ac:dyDescent="0.4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 x14ac:dyDescent="0.4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 x14ac:dyDescent="0.4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 x14ac:dyDescent="0.4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 x14ac:dyDescent="0.4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</sheetData>
  <conditionalFormatting sqref="A1:A1048576">
    <cfRule type="duplicateValues" dxfId="3" priority="2"/>
  </conditionalFormatting>
  <conditionalFormatting sqref="B1:B1048576">
    <cfRule type="duplicateValues" dxfId="2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sheetPr codeName="Sheet4"/>
  <dimension ref="A1:X47"/>
  <sheetViews>
    <sheetView zoomScaleNormal="100" workbookViewId="0">
      <pane ySplit="1" topLeftCell="A2" activePane="bottomLeft" state="frozen"/>
      <selection activeCell="D1" sqref="D1"/>
      <selection pane="bottomLeft" activeCell="A27" sqref="A27"/>
    </sheetView>
  </sheetViews>
  <sheetFormatPr defaultColWidth="11" defaultRowHeight="14.25" x14ac:dyDescent="0.45"/>
  <cols>
    <col min="1" max="1" width="8.42578125" style="1" bestFit="1" customWidth="1"/>
    <col min="2" max="2" width="65.78515625" style="1" bestFit="1" customWidth="1"/>
    <col min="3" max="3" width="27.5703125" style="1" bestFit="1" customWidth="1"/>
    <col min="4" max="4" width="11" style="1"/>
    <col min="5" max="5" width="14.42578125" style="1" bestFit="1" customWidth="1"/>
    <col min="6" max="23" width="11" style="1"/>
    <col min="24" max="24" width="24.640625" style="46" bestFit="1" customWidth="1"/>
    <col min="25" max="16384" width="11" style="1"/>
  </cols>
  <sheetData>
    <row r="1" spans="1:24" x14ac:dyDescent="0.45">
      <c r="A1" s="4"/>
      <c r="B1" s="4" t="s">
        <v>47</v>
      </c>
      <c r="C1" s="4" t="s">
        <v>44</v>
      </c>
      <c r="E1" s="4" t="s">
        <v>175</v>
      </c>
    </row>
    <row r="2" spans="1:24" x14ac:dyDescent="0.45">
      <c r="A2" s="2"/>
      <c r="B2" s="5" t="s">
        <v>159</v>
      </c>
      <c r="C2" s="2"/>
    </row>
    <row r="3" spans="1:24" x14ac:dyDescent="0.45">
      <c r="A3" s="6">
        <v>1</v>
      </c>
      <c r="B3" s="2" t="s">
        <v>106</v>
      </c>
      <c r="C3" s="2" t="s">
        <v>45</v>
      </c>
      <c r="E3" s="1">
        <v>5</v>
      </c>
    </row>
    <row r="4" spans="1:24" x14ac:dyDescent="0.45">
      <c r="A4" s="6">
        <v>2</v>
      </c>
      <c r="B4" s="2" t="s">
        <v>46</v>
      </c>
      <c r="C4" s="2"/>
      <c r="E4" s="1">
        <v>5</v>
      </c>
    </row>
    <row r="5" spans="1:24" x14ac:dyDescent="0.45">
      <c r="A5" s="6">
        <v>3</v>
      </c>
      <c r="B5" s="2" t="s">
        <v>103</v>
      </c>
      <c r="C5" s="34">
        <f>SUMIF(H:H, "&gt;20")</f>
        <v>1473.0000000000002</v>
      </c>
      <c r="E5" s="1">
        <v>10</v>
      </c>
    </row>
    <row r="6" spans="1:24" x14ac:dyDescent="0.45">
      <c r="A6" s="6">
        <v>4</v>
      </c>
      <c r="B6" s="2" t="s">
        <v>105</v>
      </c>
      <c r="C6" s="2"/>
      <c r="E6" s="1">
        <v>5</v>
      </c>
    </row>
    <row r="7" spans="1:24" x14ac:dyDescent="0.45">
      <c r="A7" s="2"/>
      <c r="B7" s="2"/>
      <c r="C7" s="2"/>
    </row>
    <row r="8" spans="1:24" x14ac:dyDescent="0.45">
      <c r="A8" s="27" t="s">
        <v>63</v>
      </c>
      <c r="B8" s="27" t="s">
        <v>43</v>
      </c>
      <c r="C8" s="27" t="s">
        <v>0</v>
      </c>
      <c r="D8" s="28" t="s">
        <v>1</v>
      </c>
      <c r="E8" s="27" t="s">
        <v>2</v>
      </c>
      <c r="F8" s="28" t="s">
        <v>3</v>
      </c>
      <c r="G8" s="29" t="s">
        <v>78</v>
      </c>
      <c r="H8" s="29" t="s">
        <v>64</v>
      </c>
      <c r="I8" s="29" t="s">
        <v>65</v>
      </c>
      <c r="J8" s="30" t="s">
        <v>66</v>
      </c>
      <c r="K8" s="30" t="s">
        <v>67</v>
      </c>
      <c r="L8" s="30" t="s">
        <v>68</v>
      </c>
      <c r="M8" s="29" t="s">
        <v>69</v>
      </c>
      <c r="N8" s="29" t="s">
        <v>70</v>
      </c>
      <c r="O8" s="29" t="s">
        <v>71</v>
      </c>
      <c r="P8" s="30" t="s">
        <v>72</v>
      </c>
      <c r="Q8" s="30" t="s">
        <v>73</v>
      </c>
      <c r="R8" s="30" t="s">
        <v>74</v>
      </c>
      <c r="S8" s="29" t="s">
        <v>79</v>
      </c>
      <c r="T8" s="29" t="s">
        <v>75</v>
      </c>
      <c r="U8" s="30" t="s">
        <v>80</v>
      </c>
      <c r="V8" s="30" t="s">
        <v>76</v>
      </c>
      <c r="W8" s="30" t="s">
        <v>77</v>
      </c>
      <c r="X8" s="47" t="s">
        <v>104</v>
      </c>
    </row>
    <row r="9" spans="1:24" x14ac:dyDescent="0.45">
      <c r="A9" s="1" t="s">
        <v>40</v>
      </c>
      <c r="B9" s="1">
        <v>20000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2.7</v>
      </c>
      <c r="H9" s="1">
        <v>3.6</v>
      </c>
      <c r="I9" s="1">
        <v>4.2</v>
      </c>
      <c r="J9" s="1">
        <v>-1</v>
      </c>
      <c r="K9" s="1">
        <v>-1</v>
      </c>
      <c r="L9" s="1">
        <v>-1</v>
      </c>
      <c r="M9" s="1">
        <v>5.3</v>
      </c>
      <c r="N9" s="1">
        <v>7.6</v>
      </c>
      <c r="O9" s="1">
        <v>8.9</v>
      </c>
      <c r="P9" s="1">
        <v>2.7</v>
      </c>
      <c r="Q9" s="1">
        <v>3.6</v>
      </c>
      <c r="R9" s="1">
        <v>4.2</v>
      </c>
      <c r="S9" s="1">
        <v>7.6</v>
      </c>
      <c r="T9" s="1">
        <v>8.9</v>
      </c>
      <c r="U9" s="1">
        <v>3.6</v>
      </c>
      <c r="V9" s="1">
        <v>4.2</v>
      </c>
      <c r="W9" s="1">
        <v>4.2</v>
      </c>
      <c r="X9" s="48">
        <v>45051</v>
      </c>
    </row>
    <row r="10" spans="1:24" x14ac:dyDescent="0.45">
      <c r="A10" s="1" t="s">
        <v>4</v>
      </c>
      <c r="B10" s="1">
        <v>20002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2.7</v>
      </c>
      <c r="H10" s="1">
        <v>3.6</v>
      </c>
      <c r="I10" s="1">
        <v>4.2</v>
      </c>
      <c r="J10" s="1">
        <v>-1</v>
      </c>
      <c r="K10" s="1">
        <v>-1</v>
      </c>
      <c r="L10" s="1">
        <v>-1</v>
      </c>
      <c r="M10" s="1">
        <v>5.3</v>
      </c>
      <c r="N10" s="1">
        <v>7.6</v>
      </c>
      <c r="O10" s="1">
        <v>8.9</v>
      </c>
      <c r="P10" s="1">
        <v>2.7</v>
      </c>
      <c r="Q10" s="1">
        <v>3.6</v>
      </c>
      <c r="R10" s="1">
        <v>4.2</v>
      </c>
      <c r="S10" s="1">
        <v>7.6</v>
      </c>
      <c r="T10" s="1">
        <v>8.9</v>
      </c>
      <c r="U10" s="1">
        <v>3.6</v>
      </c>
      <c r="V10" s="1">
        <v>4.2</v>
      </c>
      <c r="W10" s="1">
        <v>4.2</v>
      </c>
      <c r="X10" s="48">
        <v>45048</v>
      </c>
    </row>
    <row r="11" spans="1:24" x14ac:dyDescent="0.45">
      <c r="A11" s="1" t="s">
        <v>7</v>
      </c>
      <c r="B11" s="1">
        <v>20004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3.6</v>
      </c>
      <c r="H11" s="1">
        <v>5.4</v>
      </c>
      <c r="I11" s="1">
        <v>5.8</v>
      </c>
      <c r="J11" s="1">
        <v>-1</v>
      </c>
      <c r="K11" s="1">
        <v>-1</v>
      </c>
      <c r="L11" s="1">
        <v>-1</v>
      </c>
      <c r="M11" s="1">
        <v>7.6</v>
      </c>
      <c r="N11" s="1">
        <v>11.1</v>
      </c>
      <c r="O11" s="1">
        <v>12.2</v>
      </c>
      <c r="P11" s="1">
        <v>3.6</v>
      </c>
      <c r="Q11" s="1">
        <v>5.4</v>
      </c>
      <c r="R11" s="1">
        <v>5.8</v>
      </c>
      <c r="S11" s="1">
        <v>11.1</v>
      </c>
      <c r="T11" s="1">
        <v>12.2</v>
      </c>
      <c r="U11" s="1">
        <v>5.4</v>
      </c>
      <c r="V11" s="1">
        <v>5.8</v>
      </c>
      <c r="W11" s="1">
        <v>5.8</v>
      </c>
      <c r="X11" s="48">
        <v>45055</v>
      </c>
    </row>
    <row r="12" spans="1:24" x14ac:dyDescent="0.45">
      <c r="A12" s="1" t="s">
        <v>8</v>
      </c>
      <c r="B12" s="1">
        <v>20006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4.9000000000000004</v>
      </c>
      <c r="H12" s="1">
        <v>6.6</v>
      </c>
      <c r="I12" s="1">
        <v>8.1</v>
      </c>
      <c r="J12" s="1">
        <v>-1</v>
      </c>
      <c r="K12" s="1">
        <v>-1</v>
      </c>
      <c r="L12" s="1">
        <v>-1</v>
      </c>
      <c r="M12" s="1">
        <v>10</v>
      </c>
      <c r="N12" s="1">
        <v>13.3</v>
      </c>
      <c r="O12" s="1">
        <v>17</v>
      </c>
      <c r="P12" s="1">
        <v>4.9000000000000004</v>
      </c>
      <c r="Q12" s="1">
        <v>6.6</v>
      </c>
      <c r="R12" s="1">
        <v>8.1</v>
      </c>
      <c r="S12" s="1">
        <v>13.3</v>
      </c>
      <c r="T12" s="1">
        <v>17</v>
      </c>
      <c r="U12" s="1">
        <v>6.6</v>
      </c>
      <c r="V12" s="1">
        <v>8.1</v>
      </c>
      <c r="W12" s="1">
        <v>8.1</v>
      </c>
      <c r="X12" s="48">
        <v>45059</v>
      </c>
    </row>
    <row r="13" spans="1:24" x14ac:dyDescent="0.45">
      <c r="A13" s="1" t="s">
        <v>9</v>
      </c>
      <c r="B13" s="1">
        <v>20008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6.6</v>
      </c>
      <c r="H13" s="1">
        <v>8.8000000000000007</v>
      </c>
      <c r="I13" s="1">
        <v>11</v>
      </c>
      <c r="J13" s="1">
        <v>-1</v>
      </c>
      <c r="K13" s="1">
        <v>-1</v>
      </c>
      <c r="L13" s="1">
        <v>-1</v>
      </c>
      <c r="M13" s="1">
        <v>13.3</v>
      </c>
      <c r="N13" s="1">
        <v>18</v>
      </c>
      <c r="O13" s="1">
        <v>22.5</v>
      </c>
      <c r="P13" s="1">
        <v>6.6</v>
      </c>
      <c r="Q13" s="1">
        <v>8.8000000000000007</v>
      </c>
      <c r="R13" s="1">
        <v>11</v>
      </c>
      <c r="S13" s="1">
        <v>18</v>
      </c>
      <c r="T13" s="1">
        <v>22.5</v>
      </c>
      <c r="U13" s="1">
        <v>8.8000000000000007</v>
      </c>
      <c r="V13" s="1">
        <v>11</v>
      </c>
      <c r="W13" s="1">
        <v>11</v>
      </c>
      <c r="X13" s="48">
        <v>45076</v>
      </c>
    </row>
    <row r="14" spans="1:24" x14ac:dyDescent="0.45">
      <c r="A14" s="1" t="s">
        <v>10</v>
      </c>
      <c r="B14" s="1">
        <v>20010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7.1</v>
      </c>
      <c r="H14" s="1">
        <v>10.4</v>
      </c>
      <c r="I14" s="1">
        <v>12.8</v>
      </c>
      <c r="J14" s="1">
        <v>-1</v>
      </c>
      <c r="K14" s="1">
        <v>-1</v>
      </c>
      <c r="L14" s="1">
        <v>-1</v>
      </c>
      <c r="M14" s="1">
        <v>14.4</v>
      </c>
      <c r="N14" s="1">
        <v>21.5</v>
      </c>
      <c r="O14" s="1">
        <v>26.1</v>
      </c>
      <c r="P14" s="1">
        <v>7.1</v>
      </c>
      <c r="Q14" s="1">
        <v>10.4</v>
      </c>
      <c r="R14" s="1">
        <v>12.8</v>
      </c>
      <c r="S14" s="1">
        <v>21.5</v>
      </c>
      <c r="T14" s="1">
        <v>26.1</v>
      </c>
      <c r="U14" s="1">
        <v>10.4</v>
      </c>
      <c r="V14" s="1">
        <v>12.8</v>
      </c>
      <c r="W14" s="1">
        <v>12.8</v>
      </c>
      <c r="X14" s="48">
        <v>45057</v>
      </c>
    </row>
    <row r="15" spans="1:24" x14ac:dyDescent="0.45">
      <c r="A15" s="1" t="s">
        <v>11</v>
      </c>
      <c r="B15" s="1">
        <v>20012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9.4</v>
      </c>
      <c r="H15" s="1">
        <v>13.8</v>
      </c>
      <c r="I15" s="1">
        <v>16.100000000000001</v>
      </c>
      <c r="J15" s="1">
        <v>-1</v>
      </c>
      <c r="K15" s="1">
        <v>-1</v>
      </c>
      <c r="L15" s="1">
        <v>-1</v>
      </c>
      <c r="M15" s="1">
        <v>19.2</v>
      </c>
      <c r="N15" s="1">
        <v>28.3</v>
      </c>
      <c r="O15" s="1">
        <v>32.799999999999997</v>
      </c>
      <c r="P15" s="1">
        <v>9.4</v>
      </c>
      <c r="Q15" s="1">
        <v>13.8</v>
      </c>
      <c r="R15" s="1">
        <v>16.100000000000001</v>
      </c>
      <c r="S15" s="1">
        <v>28.3</v>
      </c>
      <c r="T15" s="1">
        <v>32.799999999999997</v>
      </c>
      <c r="U15" s="1">
        <v>13.8</v>
      </c>
      <c r="V15" s="1">
        <v>16.100000000000001</v>
      </c>
      <c r="W15" s="1">
        <v>16.100000000000001</v>
      </c>
      <c r="X15" s="48">
        <v>45052</v>
      </c>
    </row>
    <row r="16" spans="1:24" x14ac:dyDescent="0.45">
      <c r="A16" s="1" t="s">
        <v>12</v>
      </c>
      <c r="B16" s="1">
        <v>20014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11.6</v>
      </c>
      <c r="H16" s="1">
        <v>17.3</v>
      </c>
      <c r="I16" s="1">
        <v>21.3</v>
      </c>
      <c r="J16" s="1">
        <v>-1</v>
      </c>
      <c r="K16" s="1">
        <v>-1</v>
      </c>
      <c r="L16" s="1">
        <v>-1</v>
      </c>
      <c r="M16" s="1">
        <v>23.6</v>
      </c>
      <c r="N16" s="1">
        <v>35.200000000000003</v>
      </c>
      <c r="O16" s="1">
        <v>43</v>
      </c>
      <c r="P16" s="1">
        <v>11.6</v>
      </c>
      <c r="Q16" s="1">
        <v>17.3</v>
      </c>
      <c r="R16" s="1">
        <v>21.3</v>
      </c>
      <c r="S16" s="1">
        <v>35.200000000000003</v>
      </c>
      <c r="T16" s="1">
        <v>43</v>
      </c>
      <c r="U16" s="1">
        <v>17.3</v>
      </c>
      <c r="V16" s="1">
        <v>21.3</v>
      </c>
      <c r="W16" s="1">
        <v>21.3</v>
      </c>
      <c r="X16" s="48">
        <v>45098</v>
      </c>
    </row>
    <row r="17" spans="1:24" x14ac:dyDescent="0.45">
      <c r="A17" s="1" t="s">
        <v>13</v>
      </c>
      <c r="B17" s="1">
        <v>20016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16.100000000000001</v>
      </c>
      <c r="H17" s="1">
        <v>24.1</v>
      </c>
      <c r="I17" s="1">
        <v>29.1</v>
      </c>
      <c r="J17" s="1">
        <v>-1</v>
      </c>
      <c r="K17" s="1">
        <v>-1</v>
      </c>
      <c r="L17" s="1">
        <v>-1</v>
      </c>
      <c r="M17" s="1">
        <v>32.799999999999997</v>
      </c>
      <c r="N17" s="1">
        <v>49</v>
      </c>
      <c r="O17" s="1">
        <v>59</v>
      </c>
      <c r="P17" s="1">
        <v>16.100000000000001</v>
      </c>
      <c r="Q17" s="1">
        <v>24.1</v>
      </c>
      <c r="R17" s="1">
        <v>29.1</v>
      </c>
      <c r="S17" s="1">
        <v>49</v>
      </c>
      <c r="T17" s="1">
        <v>59</v>
      </c>
      <c r="U17" s="1">
        <v>24.1</v>
      </c>
      <c r="V17" s="1">
        <v>29.1</v>
      </c>
      <c r="W17" s="1">
        <v>29.1</v>
      </c>
      <c r="X17" s="48">
        <v>45092</v>
      </c>
    </row>
    <row r="18" spans="1:24" x14ac:dyDescent="0.45">
      <c r="A18" s="1" t="s">
        <v>14</v>
      </c>
      <c r="B18" s="1">
        <v>20018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18.399999999999999</v>
      </c>
      <c r="H18" s="1">
        <v>27.5</v>
      </c>
      <c r="I18" s="1">
        <v>33.799999999999997</v>
      </c>
      <c r="J18" s="1">
        <v>-1</v>
      </c>
      <c r="K18" s="1">
        <v>-1</v>
      </c>
      <c r="L18" s="1">
        <v>-1</v>
      </c>
      <c r="M18" s="1">
        <v>37.200000000000003</v>
      </c>
      <c r="N18" s="1">
        <v>55.6</v>
      </c>
      <c r="O18" s="1">
        <v>67.900000000000006</v>
      </c>
      <c r="P18" s="1">
        <v>18.399999999999999</v>
      </c>
      <c r="Q18" s="1">
        <v>27.5</v>
      </c>
      <c r="R18" s="1">
        <v>33.799999999999997</v>
      </c>
      <c r="S18" s="1">
        <v>55.6</v>
      </c>
      <c r="T18" s="1">
        <v>67.900000000000006</v>
      </c>
      <c r="U18" s="1">
        <v>27.5</v>
      </c>
      <c r="V18" s="1">
        <v>33.799999999999997</v>
      </c>
      <c r="W18" s="1">
        <v>33.799999999999997</v>
      </c>
      <c r="X18" s="48">
        <v>45104</v>
      </c>
    </row>
    <row r="19" spans="1:24" x14ac:dyDescent="0.45">
      <c r="A19" s="1" t="s">
        <v>15</v>
      </c>
      <c r="B19" s="1">
        <v>20020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48">
        <v>45116</v>
      </c>
    </row>
    <row r="20" spans="1:24" x14ac:dyDescent="0.45">
      <c r="A20" s="1" t="s">
        <v>16</v>
      </c>
      <c r="B20" s="1">
        <v>20022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21.9</v>
      </c>
      <c r="H20" s="1">
        <v>32.1</v>
      </c>
      <c r="I20" s="1">
        <v>40.1</v>
      </c>
      <c r="J20" s="1">
        <v>-1</v>
      </c>
      <c r="K20" s="1">
        <v>-1</v>
      </c>
      <c r="L20" s="1">
        <v>-1</v>
      </c>
      <c r="M20" s="1">
        <v>42.3</v>
      </c>
      <c r="N20" s="1">
        <v>61.5</v>
      </c>
      <c r="O20" s="1">
        <v>76.599999999999994</v>
      </c>
      <c r="P20" s="1">
        <v>21.9</v>
      </c>
      <c r="Q20" s="1">
        <v>32.1</v>
      </c>
      <c r="R20" s="1">
        <v>40.1</v>
      </c>
      <c r="S20" s="1">
        <v>61.5</v>
      </c>
      <c r="T20" s="1">
        <v>76.599999999999994</v>
      </c>
      <c r="U20" s="1">
        <v>32.1</v>
      </c>
      <c r="V20" s="1">
        <v>40.1</v>
      </c>
      <c r="W20" s="1">
        <v>40.1</v>
      </c>
      <c r="X20" s="48">
        <v>45110</v>
      </c>
    </row>
    <row r="21" spans="1:24" x14ac:dyDescent="0.45">
      <c r="A21" s="1" t="s">
        <v>17</v>
      </c>
      <c r="B21" s="1">
        <v>20024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23.5</v>
      </c>
      <c r="H21" s="1">
        <v>34.700000000000003</v>
      </c>
      <c r="I21" s="1">
        <v>42.7</v>
      </c>
      <c r="J21" s="1">
        <v>-1</v>
      </c>
      <c r="K21" s="1">
        <v>-1</v>
      </c>
      <c r="L21" s="1">
        <v>-1</v>
      </c>
      <c r="M21" s="1">
        <v>47.7</v>
      </c>
      <c r="N21" s="1">
        <v>70.8</v>
      </c>
      <c r="O21" s="1">
        <v>86.6</v>
      </c>
      <c r="P21" s="1">
        <v>23.5</v>
      </c>
      <c r="Q21" s="1">
        <v>34.700000000000003</v>
      </c>
      <c r="R21" s="1">
        <v>42.7</v>
      </c>
      <c r="S21" s="1">
        <v>70.8</v>
      </c>
      <c r="T21" s="1">
        <v>86.6</v>
      </c>
      <c r="U21" s="1">
        <v>34.700000000000003</v>
      </c>
      <c r="V21" s="1">
        <v>42.7</v>
      </c>
      <c r="W21" s="1">
        <v>42.7</v>
      </c>
      <c r="X21" s="48">
        <v>45095</v>
      </c>
    </row>
    <row r="22" spans="1:24" x14ac:dyDescent="0.45">
      <c r="A22" s="1" t="s">
        <v>18</v>
      </c>
      <c r="B22" s="1">
        <v>20026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26.8</v>
      </c>
      <c r="H22" s="1">
        <v>39.299999999999997</v>
      </c>
      <c r="I22" s="1">
        <v>47.9</v>
      </c>
      <c r="J22" s="1">
        <v>-1</v>
      </c>
      <c r="K22" s="1">
        <v>-1</v>
      </c>
      <c r="L22" s="1">
        <v>-1</v>
      </c>
      <c r="M22" s="1">
        <v>54.6</v>
      </c>
      <c r="N22" s="1">
        <v>79.599999999999994</v>
      </c>
      <c r="O22" s="1">
        <v>96.8</v>
      </c>
      <c r="P22" s="1">
        <v>26.8</v>
      </c>
      <c r="Q22" s="1">
        <v>39.299999999999997</v>
      </c>
      <c r="R22" s="1">
        <v>47.9</v>
      </c>
      <c r="S22" s="1">
        <v>79.599999999999994</v>
      </c>
      <c r="T22" s="1">
        <v>96.8</v>
      </c>
      <c r="U22" s="1">
        <v>39.299999999999997</v>
      </c>
      <c r="V22" s="1">
        <v>47.9</v>
      </c>
      <c r="W22" s="1">
        <v>47.9</v>
      </c>
      <c r="X22" s="48">
        <v>45113</v>
      </c>
    </row>
    <row r="23" spans="1:24" x14ac:dyDescent="0.45">
      <c r="A23" s="1" t="s">
        <v>19</v>
      </c>
      <c r="B23" s="1">
        <v>20028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28</v>
      </c>
      <c r="H23" s="1">
        <v>41</v>
      </c>
      <c r="I23" s="1">
        <v>50.1</v>
      </c>
      <c r="J23" s="1">
        <v>-1</v>
      </c>
      <c r="K23" s="1">
        <v>-1</v>
      </c>
      <c r="L23" s="1">
        <v>-1</v>
      </c>
      <c r="M23" s="1">
        <v>56.7</v>
      </c>
      <c r="N23" s="1">
        <v>83.2</v>
      </c>
      <c r="O23" s="1">
        <v>101.3</v>
      </c>
      <c r="P23" s="1">
        <v>28</v>
      </c>
      <c r="Q23" s="1">
        <v>41</v>
      </c>
      <c r="R23" s="1">
        <v>50.1</v>
      </c>
      <c r="S23" s="1">
        <v>83.2</v>
      </c>
      <c r="T23" s="1">
        <v>101.3</v>
      </c>
      <c r="U23" s="1">
        <v>41</v>
      </c>
      <c r="V23" s="1">
        <v>50.1</v>
      </c>
      <c r="W23" s="1">
        <v>50.1</v>
      </c>
      <c r="X23" s="48">
        <v>45063</v>
      </c>
    </row>
    <row r="24" spans="1:24" x14ac:dyDescent="0.45">
      <c r="A24" s="1" t="s">
        <v>20</v>
      </c>
      <c r="B24" s="1">
        <v>20030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28.5</v>
      </c>
      <c r="H24" s="1">
        <v>42.3</v>
      </c>
      <c r="I24" s="1">
        <v>52.3</v>
      </c>
      <c r="J24" s="1">
        <v>-1</v>
      </c>
      <c r="K24" s="1">
        <v>-1</v>
      </c>
      <c r="L24" s="1">
        <v>-1</v>
      </c>
      <c r="M24" s="1">
        <v>58.3</v>
      </c>
      <c r="N24" s="1">
        <v>85.4</v>
      </c>
      <c r="O24" s="1">
        <v>106.1</v>
      </c>
      <c r="P24" s="1">
        <v>28.5</v>
      </c>
      <c r="Q24" s="1">
        <v>42.3</v>
      </c>
      <c r="R24" s="1">
        <v>52.3</v>
      </c>
      <c r="S24" s="1">
        <v>85.4</v>
      </c>
      <c r="T24" s="1">
        <v>106.1</v>
      </c>
      <c r="U24" s="1">
        <v>42.3</v>
      </c>
      <c r="V24" s="1">
        <v>52.3</v>
      </c>
      <c r="W24" s="1">
        <v>52.3</v>
      </c>
      <c r="X24" s="48">
        <v>45071</v>
      </c>
    </row>
    <row r="25" spans="1:24" x14ac:dyDescent="0.45">
      <c r="A25" s="1" t="s">
        <v>21</v>
      </c>
      <c r="B25" s="1">
        <v>20032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29.1</v>
      </c>
      <c r="H25" s="1">
        <v>43.3</v>
      </c>
      <c r="I25" s="1">
        <v>53.7</v>
      </c>
      <c r="J25" s="1">
        <v>-1</v>
      </c>
      <c r="K25" s="1">
        <v>-1</v>
      </c>
      <c r="L25" s="1">
        <v>-1</v>
      </c>
      <c r="M25" s="1">
        <v>59</v>
      </c>
      <c r="N25" s="1">
        <v>87.6</v>
      </c>
      <c r="O25" s="1">
        <v>108.8</v>
      </c>
      <c r="P25" s="1">
        <v>29.1</v>
      </c>
      <c r="Q25" s="1">
        <v>43.3</v>
      </c>
      <c r="R25" s="1">
        <v>53.7</v>
      </c>
      <c r="S25" s="1">
        <v>87.6</v>
      </c>
      <c r="T25" s="1">
        <v>108.8</v>
      </c>
      <c r="U25" s="1">
        <v>43.3</v>
      </c>
      <c r="V25" s="1">
        <v>53.7</v>
      </c>
      <c r="W25" s="1">
        <v>53.7</v>
      </c>
      <c r="X25" s="48">
        <v>45085</v>
      </c>
    </row>
    <row r="26" spans="1:24" x14ac:dyDescent="0.45">
      <c r="A26" s="1" t="s">
        <v>22</v>
      </c>
      <c r="B26" s="1">
        <v>20034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30.7</v>
      </c>
      <c r="H26" s="1">
        <v>45.5</v>
      </c>
      <c r="I26" s="1">
        <v>57</v>
      </c>
      <c r="J26" s="1">
        <v>-1</v>
      </c>
      <c r="K26" s="1">
        <v>-1</v>
      </c>
      <c r="L26" s="1">
        <v>-1</v>
      </c>
      <c r="M26" s="1">
        <v>62.5</v>
      </c>
      <c r="N26" s="1">
        <v>92.1</v>
      </c>
      <c r="O26" s="1">
        <v>115.1</v>
      </c>
      <c r="P26" s="1">
        <v>30.7</v>
      </c>
      <c r="Q26" s="1">
        <v>45.5</v>
      </c>
      <c r="R26" s="1">
        <v>57</v>
      </c>
      <c r="S26" s="1">
        <v>92.1</v>
      </c>
      <c r="T26" s="1">
        <v>115.1</v>
      </c>
      <c r="U26" s="1">
        <v>45.5</v>
      </c>
      <c r="V26" s="1">
        <v>57</v>
      </c>
      <c r="W26" s="1">
        <v>57</v>
      </c>
      <c r="X26" s="48">
        <v>45099</v>
      </c>
    </row>
    <row r="27" spans="1:24" x14ac:dyDescent="0.45">
      <c r="A27" s="1" t="s">
        <v>23</v>
      </c>
      <c r="B27" s="1">
        <v>20036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33.799999999999997</v>
      </c>
      <c r="H27" s="1">
        <v>50.1</v>
      </c>
      <c r="I27" s="1">
        <v>61.4</v>
      </c>
      <c r="J27" s="1">
        <v>-1</v>
      </c>
      <c r="K27" s="1">
        <v>-1</v>
      </c>
      <c r="L27" s="1">
        <v>-1</v>
      </c>
      <c r="M27" s="1">
        <v>67.900000000000006</v>
      </c>
      <c r="N27" s="1">
        <v>101.3</v>
      </c>
      <c r="O27" s="1">
        <v>124.4</v>
      </c>
      <c r="P27" s="1">
        <v>33.799999999999997</v>
      </c>
      <c r="Q27" s="1">
        <v>50.1</v>
      </c>
      <c r="R27" s="1">
        <v>61.4</v>
      </c>
      <c r="S27" s="1">
        <v>101.3</v>
      </c>
      <c r="T27" s="1">
        <v>124.4</v>
      </c>
      <c r="U27" s="1">
        <v>50.1</v>
      </c>
      <c r="V27" s="1">
        <v>61.4</v>
      </c>
      <c r="W27" s="1">
        <v>61.4</v>
      </c>
      <c r="X27" s="48">
        <v>45091</v>
      </c>
    </row>
    <row r="28" spans="1:24" x14ac:dyDescent="0.45">
      <c r="A28" s="1" t="s">
        <v>24</v>
      </c>
      <c r="B28" s="1">
        <v>20038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34.700000000000003</v>
      </c>
      <c r="H28" s="1">
        <v>52.3</v>
      </c>
      <c r="I28" s="1">
        <v>63.6</v>
      </c>
      <c r="J28" s="1">
        <v>-1</v>
      </c>
      <c r="K28" s="1">
        <v>-1</v>
      </c>
      <c r="L28" s="1">
        <v>-1</v>
      </c>
      <c r="M28" s="1">
        <v>70.8</v>
      </c>
      <c r="N28" s="1">
        <v>106.1</v>
      </c>
      <c r="O28" s="1">
        <v>128.6</v>
      </c>
      <c r="P28" s="1">
        <v>34.700000000000003</v>
      </c>
      <c r="Q28" s="1">
        <v>52.3</v>
      </c>
      <c r="R28" s="1">
        <v>63.6</v>
      </c>
      <c r="S28" s="1">
        <v>106.1</v>
      </c>
      <c r="T28" s="1">
        <v>128.6</v>
      </c>
      <c r="U28" s="1">
        <v>52.3</v>
      </c>
      <c r="V28" s="1">
        <v>63.6</v>
      </c>
      <c r="W28" s="1">
        <v>63.6</v>
      </c>
      <c r="X28" s="48">
        <v>45079</v>
      </c>
    </row>
    <row r="29" spans="1:24" x14ac:dyDescent="0.45">
      <c r="A29" s="1" t="s">
        <v>25</v>
      </c>
      <c r="B29" s="1">
        <v>20040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36.5</v>
      </c>
      <c r="H29" s="1">
        <v>54.6</v>
      </c>
      <c r="I29" s="1">
        <v>65.900000000000006</v>
      </c>
      <c r="J29" s="1">
        <v>-1</v>
      </c>
      <c r="K29" s="1">
        <v>-1</v>
      </c>
      <c r="L29" s="1">
        <v>-1</v>
      </c>
      <c r="M29" s="1">
        <v>73.900000000000006</v>
      </c>
      <c r="N29" s="1">
        <v>110.3</v>
      </c>
      <c r="O29" s="1">
        <v>133.4</v>
      </c>
      <c r="P29" s="1">
        <v>36.5</v>
      </c>
      <c r="Q29" s="1">
        <v>54.6</v>
      </c>
      <c r="R29" s="1">
        <v>65.900000000000006</v>
      </c>
      <c r="S29" s="1">
        <v>110.3</v>
      </c>
      <c r="T29" s="1">
        <v>133.4</v>
      </c>
      <c r="U29" s="1">
        <v>54.6</v>
      </c>
      <c r="V29" s="1">
        <v>65.900000000000006</v>
      </c>
      <c r="W29" s="1">
        <v>65.900000000000006</v>
      </c>
      <c r="X29" s="48">
        <v>45075</v>
      </c>
    </row>
    <row r="30" spans="1:24" x14ac:dyDescent="0.45">
      <c r="A30" s="1" t="s">
        <v>41</v>
      </c>
      <c r="B30" s="1">
        <v>20042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38</v>
      </c>
      <c r="H30" s="1">
        <v>57.2</v>
      </c>
      <c r="I30" s="1">
        <v>68.7</v>
      </c>
      <c r="J30" s="1">
        <v>-1</v>
      </c>
      <c r="K30" s="1">
        <v>-1</v>
      </c>
      <c r="L30" s="1">
        <v>-1</v>
      </c>
      <c r="M30" s="1">
        <v>76.599999999999994</v>
      </c>
      <c r="N30" s="1">
        <v>115.5</v>
      </c>
      <c r="O30" s="1">
        <v>138.80000000000001</v>
      </c>
      <c r="P30" s="1">
        <v>38</v>
      </c>
      <c r="Q30" s="1">
        <v>57.2</v>
      </c>
      <c r="R30" s="1">
        <v>68.7</v>
      </c>
      <c r="S30" s="1">
        <v>115.5</v>
      </c>
      <c r="T30" s="1">
        <v>138.80000000000001</v>
      </c>
      <c r="U30" s="1">
        <v>57.2</v>
      </c>
      <c r="V30" s="1">
        <v>68.7</v>
      </c>
      <c r="W30" s="1">
        <v>68.7</v>
      </c>
      <c r="X30" s="48">
        <v>45110</v>
      </c>
    </row>
    <row r="31" spans="1:24" x14ac:dyDescent="0.45">
      <c r="A31" s="1" t="s">
        <v>26</v>
      </c>
      <c r="B31" s="1">
        <v>20044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38.700000000000003</v>
      </c>
      <c r="H31" s="1">
        <v>59.2</v>
      </c>
      <c r="I31" s="1">
        <v>70.400000000000006</v>
      </c>
      <c r="J31" s="1">
        <v>-1</v>
      </c>
      <c r="K31" s="1">
        <v>-1</v>
      </c>
      <c r="L31" s="1">
        <v>-1</v>
      </c>
      <c r="M31" s="1">
        <v>78.599999999999994</v>
      </c>
      <c r="N31" s="1">
        <v>119.4</v>
      </c>
      <c r="O31" s="1">
        <v>142.5</v>
      </c>
      <c r="P31" s="1">
        <v>38.700000000000003</v>
      </c>
      <c r="Q31" s="1">
        <v>59.2</v>
      </c>
      <c r="R31" s="1">
        <v>70.400000000000006</v>
      </c>
      <c r="S31" s="1">
        <v>119.4</v>
      </c>
      <c r="T31" s="1">
        <v>142.5</v>
      </c>
      <c r="U31" s="1">
        <v>59.2</v>
      </c>
      <c r="V31" s="1">
        <v>70.400000000000006</v>
      </c>
      <c r="W31" s="1">
        <v>70.400000000000006</v>
      </c>
      <c r="X31" s="48">
        <v>45114</v>
      </c>
    </row>
    <row r="32" spans="1:24" x14ac:dyDescent="0.45">
      <c r="A32" s="1" t="s">
        <v>27</v>
      </c>
      <c r="B32" s="1">
        <v>20046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40.1</v>
      </c>
      <c r="H32" s="1">
        <v>59.2</v>
      </c>
      <c r="I32" s="1">
        <v>72.8</v>
      </c>
      <c r="J32" s="1">
        <v>-1</v>
      </c>
      <c r="K32" s="1">
        <v>-1</v>
      </c>
      <c r="L32" s="1">
        <v>-1</v>
      </c>
      <c r="M32" s="1">
        <v>80.8</v>
      </c>
      <c r="N32" s="1">
        <v>119.4</v>
      </c>
      <c r="O32" s="1">
        <v>146.80000000000001</v>
      </c>
      <c r="P32" s="1">
        <v>40.1</v>
      </c>
      <c r="Q32" s="1">
        <v>59.2</v>
      </c>
      <c r="R32" s="1">
        <v>72.8</v>
      </c>
      <c r="S32" s="1">
        <v>119.4</v>
      </c>
      <c r="T32" s="1">
        <v>146.80000000000001</v>
      </c>
      <c r="U32" s="1">
        <v>59.2</v>
      </c>
      <c r="V32" s="1">
        <v>72.8</v>
      </c>
      <c r="W32" s="1">
        <v>72.8</v>
      </c>
      <c r="X32" s="48">
        <v>45118</v>
      </c>
    </row>
    <row r="33" spans="1:24" x14ac:dyDescent="0.45">
      <c r="A33" s="1" t="s">
        <v>28</v>
      </c>
      <c r="B33" s="1">
        <v>20048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48">
        <v>45142</v>
      </c>
    </row>
    <row r="34" spans="1:24" x14ac:dyDescent="0.45">
      <c r="A34" s="1" t="s">
        <v>56</v>
      </c>
      <c r="B34" s="1">
        <v>20050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41.3</v>
      </c>
      <c r="H34" s="1">
        <v>61.4</v>
      </c>
      <c r="I34" s="1">
        <v>75</v>
      </c>
      <c r="J34" s="1">
        <v>-1</v>
      </c>
      <c r="K34" s="1">
        <v>-1</v>
      </c>
      <c r="L34" s="1">
        <v>-1</v>
      </c>
      <c r="M34" s="1">
        <v>83.5</v>
      </c>
      <c r="N34" s="1">
        <v>124.4</v>
      </c>
      <c r="O34" s="1">
        <v>151.5</v>
      </c>
      <c r="P34" s="1">
        <v>41.3</v>
      </c>
      <c r="Q34" s="1">
        <v>61.4</v>
      </c>
      <c r="R34" s="1">
        <v>75</v>
      </c>
      <c r="S34" s="1">
        <v>124.4</v>
      </c>
      <c r="T34" s="1">
        <v>151.5</v>
      </c>
      <c r="U34" s="1">
        <v>61.4</v>
      </c>
      <c r="V34" s="1">
        <v>75</v>
      </c>
      <c r="W34" s="1">
        <v>75</v>
      </c>
      <c r="X34" s="48">
        <v>45146</v>
      </c>
    </row>
    <row r="35" spans="1:24" x14ac:dyDescent="0.45">
      <c r="A35" s="1" t="s">
        <v>29</v>
      </c>
      <c r="B35" s="1">
        <v>20052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42.3</v>
      </c>
      <c r="H35" s="1">
        <v>61.4</v>
      </c>
      <c r="I35" s="1">
        <v>75</v>
      </c>
      <c r="J35" s="1">
        <v>-1</v>
      </c>
      <c r="K35" s="1">
        <v>-1</v>
      </c>
      <c r="L35" s="1">
        <v>-1</v>
      </c>
      <c r="M35" s="1">
        <v>85.4</v>
      </c>
      <c r="N35" s="1">
        <v>124.4</v>
      </c>
      <c r="O35" s="1">
        <v>151.5</v>
      </c>
      <c r="P35" s="1">
        <v>42.3</v>
      </c>
      <c r="Q35" s="1">
        <v>61.4</v>
      </c>
      <c r="R35" s="1">
        <v>75</v>
      </c>
      <c r="S35" s="1">
        <v>124.4</v>
      </c>
      <c r="T35" s="1">
        <v>151.5</v>
      </c>
      <c r="U35" s="1">
        <v>61.4</v>
      </c>
      <c r="V35" s="1">
        <v>75</v>
      </c>
      <c r="W35" s="1">
        <v>75</v>
      </c>
      <c r="X35" s="48">
        <v>45108</v>
      </c>
    </row>
    <row r="36" spans="1:24" x14ac:dyDescent="0.45">
      <c r="A36" s="1" t="s">
        <v>30</v>
      </c>
      <c r="B36" s="1">
        <v>20054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43.3</v>
      </c>
      <c r="H36" s="1">
        <v>63.6</v>
      </c>
      <c r="I36" s="1">
        <v>77.2</v>
      </c>
      <c r="J36" s="1">
        <v>-1</v>
      </c>
      <c r="K36" s="1">
        <v>-1</v>
      </c>
      <c r="L36" s="1">
        <v>-1</v>
      </c>
      <c r="M36" s="1">
        <v>87.6</v>
      </c>
      <c r="N36" s="1">
        <v>128.6</v>
      </c>
      <c r="O36" s="1">
        <v>156.4</v>
      </c>
      <c r="P36" s="1">
        <v>43.3</v>
      </c>
      <c r="Q36" s="1">
        <v>63.6</v>
      </c>
      <c r="R36" s="1">
        <v>77.2</v>
      </c>
      <c r="S36" s="1">
        <v>128.6</v>
      </c>
      <c r="T36" s="1">
        <v>156.4</v>
      </c>
      <c r="U36" s="1">
        <v>63.6</v>
      </c>
      <c r="V36" s="1">
        <v>77.2</v>
      </c>
      <c r="W36" s="1">
        <v>77.2</v>
      </c>
      <c r="X36" s="48">
        <v>45153</v>
      </c>
    </row>
    <row r="37" spans="1:24" x14ac:dyDescent="0.45">
      <c r="A37" s="1" t="s">
        <v>57</v>
      </c>
      <c r="B37" s="1">
        <v>20058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-1</v>
      </c>
      <c r="H37" s="1">
        <v>-1</v>
      </c>
      <c r="I37" s="1">
        <v>-1</v>
      </c>
      <c r="J37" s="1">
        <v>-1</v>
      </c>
      <c r="K37" s="1">
        <v>-1</v>
      </c>
      <c r="L37" s="1">
        <v>-1</v>
      </c>
      <c r="M37" s="1">
        <v>-1</v>
      </c>
      <c r="N37" s="1">
        <v>-1</v>
      </c>
      <c r="O37" s="1">
        <v>-1</v>
      </c>
      <c r="P37" s="1">
        <v>-1</v>
      </c>
      <c r="Q37" s="1">
        <v>-1</v>
      </c>
      <c r="R37" s="1">
        <v>-1</v>
      </c>
      <c r="S37" s="1">
        <v>-1</v>
      </c>
      <c r="T37" s="1">
        <v>-1</v>
      </c>
      <c r="U37" s="1">
        <v>-1</v>
      </c>
      <c r="V37" s="1">
        <v>-1</v>
      </c>
      <c r="W37" s="1">
        <v>-1</v>
      </c>
      <c r="X37" s="48">
        <v>45150</v>
      </c>
    </row>
    <row r="38" spans="1:24" x14ac:dyDescent="0.45">
      <c r="A38" s="1" t="s">
        <v>31</v>
      </c>
      <c r="B38" s="1">
        <v>20060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45</v>
      </c>
      <c r="H38" s="1">
        <v>65.900000000000006</v>
      </c>
      <c r="I38" s="1">
        <v>79.400000000000006</v>
      </c>
      <c r="J38" s="1">
        <v>-1</v>
      </c>
      <c r="K38" s="1">
        <v>-1</v>
      </c>
      <c r="L38" s="1">
        <v>-1</v>
      </c>
      <c r="M38" s="1">
        <v>90.9</v>
      </c>
      <c r="N38" s="1">
        <v>133.4</v>
      </c>
      <c r="O38" s="1">
        <v>160.9</v>
      </c>
      <c r="P38" s="1">
        <v>45</v>
      </c>
      <c r="Q38" s="1">
        <v>65.900000000000006</v>
      </c>
      <c r="R38" s="1">
        <v>79.400000000000006</v>
      </c>
      <c r="S38" s="1">
        <v>133.4</v>
      </c>
      <c r="T38" s="1">
        <v>160.9</v>
      </c>
      <c r="U38" s="1">
        <v>65.900000000000006</v>
      </c>
      <c r="V38" s="1">
        <v>79.400000000000006</v>
      </c>
      <c r="W38" s="1">
        <v>79.400000000000006</v>
      </c>
      <c r="X38" s="48">
        <v>45157</v>
      </c>
    </row>
    <row r="39" spans="1:24" x14ac:dyDescent="0.45">
      <c r="A39" s="1" t="s">
        <v>32</v>
      </c>
      <c r="B39" s="1">
        <v>21000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-1</v>
      </c>
      <c r="H39" s="1">
        <v>-1</v>
      </c>
      <c r="I39" s="1">
        <v>-1</v>
      </c>
      <c r="J39" s="1">
        <v>-1</v>
      </c>
      <c r="K39" s="1">
        <v>-1</v>
      </c>
      <c r="L39" s="1">
        <v>-1</v>
      </c>
      <c r="M39" s="1">
        <v>-1</v>
      </c>
      <c r="N39" s="1">
        <v>-1</v>
      </c>
      <c r="O39" s="1">
        <v>-1</v>
      </c>
      <c r="P39" s="1">
        <v>-1</v>
      </c>
      <c r="Q39" s="1">
        <v>-1</v>
      </c>
      <c r="R39" s="1">
        <v>-1</v>
      </c>
      <c r="S39" s="1">
        <v>-1</v>
      </c>
      <c r="T39" s="1">
        <v>-1</v>
      </c>
      <c r="U39" s="1">
        <v>-1</v>
      </c>
      <c r="V39" s="1">
        <v>-1</v>
      </c>
      <c r="W39" s="1">
        <v>-1</v>
      </c>
      <c r="X39" s="48">
        <v>45143</v>
      </c>
    </row>
    <row r="40" spans="1:24" x14ac:dyDescent="0.45">
      <c r="A40" s="1" t="s">
        <v>33</v>
      </c>
      <c r="B40" s="1">
        <v>21002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41.5</v>
      </c>
      <c r="H40" s="1">
        <v>61.4</v>
      </c>
      <c r="I40" s="1">
        <v>75</v>
      </c>
      <c r="J40" s="1">
        <v>-1</v>
      </c>
      <c r="K40" s="1">
        <v>-1</v>
      </c>
      <c r="L40" s="1">
        <v>-1</v>
      </c>
      <c r="M40" s="1">
        <v>84.6</v>
      </c>
      <c r="N40" s="1">
        <v>124.4</v>
      </c>
      <c r="O40" s="1">
        <v>151.5</v>
      </c>
      <c r="P40" s="1">
        <v>41.5</v>
      </c>
      <c r="Q40" s="1">
        <v>61.4</v>
      </c>
      <c r="R40" s="1">
        <v>75</v>
      </c>
      <c r="S40" s="1">
        <v>124.4</v>
      </c>
      <c r="T40" s="1">
        <v>151.5</v>
      </c>
      <c r="U40" s="1">
        <v>61.4</v>
      </c>
      <c r="V40" s="1">
        <v>75</v>
      </c>
      <c r="W40" s="1">
        <v>75</v>
      </c>
      <c r="X40" s="48">
        <v>45166</v>
      </c>
    </row>
    <row r="41" spans="1:24" x14ac:dyDescent="0.45">
      <c r="A41" s="1" t="s">
        <v>34</v>
      </c>
      <c r="B41" s="1">
        <v>21004</v>
      </c>
      <c r="C41" s="1" t="s">
        <v>5</v>
      </c>
      <c r="D41" s="23">
        <v>0</v>
      </c>
      <c r="E41" s="1" t="s">
        <v>6</v>
      </c>
      <c r="F41" s="23">
        <v>0.99998842592592596</v>
      </c>
      <c r="G41" s="1">
        <v>43.3</v>
      </c>
      <c r="H41" s="1">
        <v>63.6</v>
      </c>
      <c r="I41" s="1">
        <v>79.400000000000006</v>
      </c>
      <c r="J41" s="1">
        <v>-1</v>
      </c>
      <c r="K41" s="1">
        <v>-1</v>
      </c>
      <c r="L41" s="1">
        <v>-1</v>
      </c>
      <c r="M41" s="1">
        <v>87.6</v>
      </c>
      <c r="N41" s="1">
        <v>128.6</v>
      </c>
      <c r="O41" s="1">
        <v>160.9</v>
      </c>
      <c r="P41" s="1">
        <v>43.3</v>
      </c>
      <c r="Q41" s="1">
        <v>63.6</v>
      </c>
      <c r="R41" s="1">
        <v>79.400000000000006</v>
      </c>
      <c r="S41" s="1">
        <v>128.6</v>
      </c>
      <c r="T41" s="1">
        <v>160.9</v>
      </c>
      <c r="U41" s="1">
        <v>63.6</v>
      </c>
      <c r="V41" s="1">
        <v>79.400000000000006</v>
      </c>
      <c r="W41" s="1">
        <v>79.400000000000006</v>
      </c>
      <c r="X41" s="48">
        <v>45162</v>
      </c>
    </row>
    <row r="42" spans="1:24" x14ac:dyDescent="0.45">
      <c r="A42" s="1" t="s">
        <v>35</v>
      </c>
      <c r="B42" s="1">
        <v>21006</v>
      </c>
      <c r="C42" s="1" t="s">
        <v>5</v>
      </c>
      <c r="D42" s="23">
        <v>0</v>
      </c>
      <c r="E42" s="1" t="s">
        <v>6</v>
      </c>
      <c r="F42" s="23">
        <v>0.99998842592592596</v>
      </c>
      <c r="G42" s="1">
        <v>44.5</v>
      </c>
      <c r="H42" s="1">
        <v>65.900000000000006</v>
      </c>
      <c r="I42" s="1">
        <v>81.8</v>
      </c>
      <c r="J42" s="1">
        <v>-1</v>
      </c>
      <c r="K42" s="1">
        <v>-1</v>
      </c>
      <c r="L42" s="1">
        <v>-1</v>
      </c>
      <c r="M42" s="1">
        <v>89.9</v>
      </c>
      <c r="N42" s="1">
        <v>133.4</v>
      </c>
      <c r="O42" s="1">
        <v>165.3</v>
      </c>
      <c r="P42" s="1">
        <v>44.5</v>
      </c>
      <c r="Q42" s="1">
        <v>65.900000000000006</v>
      </c>
      <c r="R42" s="1">
        <v>81.8</v>
      </c>
      <c r="S42" s="1">
        <v>133.4</v>
      </c>
      <c r="T42" s="1">
        <v>165.3</v>
      </c>
      <c r="U42" s="1">
        <v>65.900000000000006</v>
      </c>
      <c r="V42" s="1">
        <v>81.8</v>
      </c>
      <c r="W42" s="1">
        <v>81.8</v>
      </c>
      <c r="X42" s="48">
        <v>45160</v>
      </c>
    </row>
    <row r="43" spans="1:24" x14ac:dyDescent="0.45">
      <c r="A43" s="1" t="s">
        <v>36</v>
      </c>
      <c r="B43" s="1">
        <v>21008</v>
      </c>
      <c r="C43" s="1" t="s">
        <v>5</v>
      </c>
      <c r="D43" s="23">
        <v>0</v>
      </c>
      <c r="E43" s="1" t="s">
        <v>6</v>
      </c>
      <c r="F43" s="23">
        <v>0.99998842592592596</v>
      </c>
      <c r="G43" s="1">
        <v>47.3</v>
      </c>
      <c r="H43" s="1">
        <v>70.400000000000006</v>
      </c>
      <c r="I43" s="1">
        <v>86.4</v>
      </c>
      <c r="J43" s="1">
        <v>-1</v>
      </c>
      <c r="K43" s="1">
        <v>-1</v>
      </c>
      <c r="L43" s="1">
        <v>-1</v>
      </c>
      <c r="M43" s="1">
        <v>95.6</v>
      </c>
      <c r="N43" s="1">
        <v>142.5</v>
      </c>
      <c r="O43" s="1">
        <v>174.2</v>
      </c>
      <c r="P43" s="1">
        <v>47.3</v>
      </c>
      <c r="Q43" s="1">
        <v>70.400000000000006</v>
      </c>
      <c r="R43" s="1">
        <v>86.4</v>
      </c>
      <c r="S43" s="1">
        <v>142.5</v>
      </c>
      <c r="T43" s="1">
        <v>174.2</v>
      </c>
      <c r="U43" s="1">
        <v>70.400000000000006</v>
      </c>
      <c r="V43" s="1">
        <v>86.4</v>
      </c>
      <c r="W43" s="1">
        <v>86.4</v>
      </c>
      <c r="X43" s="48">
        <v>45179</v>
      </c>
    </row>
    <row r="44" spans="1:24" x14ac:dyDescent="0.45">
      <c r="A44" s="1" t="s">
        <v>42</v>
      </c>
      <c r="B44" s="1">
        <v>21010</v>
      </c>
      <c r="C44" s="1" t="s">
        <v>5</v>
      </c>
      <c r="D44" s="23">
        <v>0</v>
      </c>
      <c r="E44" s="1" t="s">
        <v>6</v>
      </c>
      <c r="F44" s="23">
        <v>0.99998842592592596</v>
      </c>
      <c r="G44" s="1">
        <v>48.3</v>
      </c>
      <c r="H44" s="1">
        <v>72</v>
      </c>
      <c r="I44" s="1">
        <v>89</v>
      </c>
      <c r="J44" s="1">
        <v>-1</v>
      </c>
      <c r="K44" s="1">
        <v>-1</v>
      </c>
      <c r="L44" s="1">
        <v>-1</v>
      </c>
      <c r="M44" s="1">
        <v>97.9</v>
      </c>
      <c r="N44" s="1">
        <v>145.5</v>
      </c>
      <c r="O44" s="1">
        <v>179.8</v>
      </c>
      <c r="P44" s="1">
        <v>48.3</v>
      </c>
      <c r="Q44" s="1">
        <v>72</v>
      </c>
      <c r="R44" s="1">
        <v>89</v>
      </c>
      <c r="S44" s="1">
        <v>145.5</v>
      </c>
      <c r="T44" s="1">
        <v>179.8</v>
      </c>
      <c r="U44" s="1">
        <v>72</v>
      </c>
      <c r="V44" s="1">
        <v>89</v>
      </c>
      <c r="W44" s="1">
        <v>89</v>
      </c>
      <c r="X44" s="48">
        <v>45157</v>
      </c>
    </row>
    <row r="45" spans="1:24" x14ac:dyDescent="0.45">
      <c r="A45" s="1" t="s">
        <v>37</v>
      </c>
      <c r="B45" s="1">
        <v>21012</v>
      </c>
      <c r="C45" s="1" t="s">
        <v>5</v>
      </c>
      <c r="D45" s="23">
        <v>0</v>
      </c>
      <c r="E45" s="1" t="s">
        <v>6</v>
      </c>
      <c r="F45" s="23">
        <v>0.99998842592592596</v>
      </c>
      <c r="G45" s="1">
        <v>49.1</v>
      </c>
      <c r="H45" s="1">
        <v>72.8</v>
      </c>
      <c r="I45" s="1">
        <v>90.9</v>
      </c>
      <c r="J45" s="1">
        <v>-1</v>
      </c>
      <c r="K45" s="1">
        <v>-1</v>
      </c>
      <c r="L45" s="1">
        <v>-1</v>
      </c>
      <c r="M45" s="1">
        <v>99.5</v>
      </c>
      <c r="N45" s="1">
        <v>146.80000000000001</v>
      </c>
      <c r="O45" s="1">
        <v>183.5</v>
      </c>
      <c r="P45" s="1">
        <v>49.1</v>
      </c>
      <c r="Q45" s="1">
        <v>72.8</v>
      </c>
      <c r="R45" s="1">
        <v>90.9</v>
      </c>
      <c r="S45" s="1">
        <v>146.80000000000001</v>
      </c>
      <c r="T45" s="1">
        <v>183.5</v>
      </c>
      <c r="U45" s="1">
        <v>72.8</v>
      </c>
      <c r="V45" s="1">
        <v>90.9</v>
      </c>
      <c r="W45" s="1">
        <v>90.9</v>
      </c>
      <c r="X45" s="48">
        <v>45143</v>
      </c>
    </row>
    <row r="46" spans="1:24" x14ac:dyDescent="0.45">
      <c r="A46" s="1" t="s">
        <v>38</v>
      </c>
      <c r="B46" s="1">
        <v>21014</v>
      </c>
      <c r="C46" s="1" t="s">
        <v>5</v>
      </c>
      <c r="D46" s="23">
        <v>0</v>
      </c>
      <c r="E46" s="1" t="s">
        <v>6</v>
      </c>
      <c r="F46" s="23">
        <v>0.99998842592592596</v>
      </c>
      <c r="G46" s="1">
        <v>50.6</v>
      </c>
      <c r="H46" s="1">
        <v>75</v>
      </c>
      <c r="I46" s="1">
        <v>93.1</v>
      </c>
      <c r="J46" s="1">
        <v>-1</v>
      </c>
      <c r="K46" s="1">
        <v>-1</v>
      </c>
      <c r="L46" s="1">
        <v>-1</v>
      </c>
      <c r="M46" s="1">
        <v>102.6</v>
      </c>
      <c r="N46" s="1">
        <v>151.5</v>
      </c>
      <c r="O46" s="1">
        <v>188.1</v>
      </c>
      <c r="P46" s="1">
        <v>50.6</v>
      </c>
      <c r="Q46" s="1">
        <v>75</v>
      </c>
      <c r="R46" s="1">
        <v>93.1</v>
      </c>
      <c r="S46" s="1">
        <v>151.5</v>
      </c>
      <c r="T46" s="1">
        <v>188.1</v>
      </c>
      <c r="U46" s="1">
        <v>75</v>
      </c>
      <c r="V46" s="1">
        <v>93.1</v>
      </c>
      <c r="W46" s="1">
        <v>93.1</v>
      </c>
      <c r="X46" s="48">
        <v>45166</v>
      </c>
    </row>
    <row r="47" spans="1:24" x14ac:dyDescent="0.45">
      <c r="A47" s="1" t="s">
        <v>39</v>
      </c>
      <c r="B47" s="1">
        <v>21016</v>
      </c>
      <c r="C47" s="1" t="s">
        <v>5</v>
      </c>
      <c r="D47" s="23">
        <v>0</v>
      </c>
      <c r="E47" s="1" t="s">
        <v>6</v>
      </c>
      <c r="F47" s="23">
        <v>0.99998842592592596</v>
      </c>
      <c r="G47" s="1">
        <v>51.8</v>
      </c>
      <c r="H47" s="1">
        <v>77.2</v>
      </c>
      <c r="I47" s="1">
        <v>93.1</v>
      </c>
      <c r="J47" s="1">
        <v>-1</v>
      </c>
      <c r="K47" s="1">
        <v>-1</v>
      </c>
      <c r="L47" s="1">
        <v>-1</v>
      </c>
      <c r="M47" s="1">
        <v>104.5</v>
      </c>
      <c r="N47" s="1">
        <v>156.4</v>
      </c>
      <c r="O47" s="1">
        <v>188.1</v>
      </c>
      <c r="P47" s="1">
        <v>51.8</v>
      </c>
      <c r="Q47" s="1">
        <v>77.2</v>
      </c>
      <c r="R47" s="1">
        <v>93.1</v>
      </c>
      <c r="S47" s="1">
        <v>156.4</v>
      </c>
      <c r="T47" s="1">
        <v>188.1</v>
      </c>
      <c r="U47" s="1">
        <v>77.2</v>
      </c>
      <c r="V47" s="1">
        <v>93.1</v>
      </c>
      <c r="W47" s="1">
        <v>93.1</v>
      </c>
      <c r="X47" s="48">
        <v>45162</v>
      </c>
    </row>
  </sheetData>
  <conditionalFormatting sqref="A8:A47">
    <cfRule type="duplicateValues" dxfId="1" priority="3"/>
  </conditionalFormatting>
  <conditionalFormatting sqref="B8:B47">
    <cfRule type="duplicateValues" dxfId="0" priority="2"/>
  </conditionalFormatting>
  <conditionalFormatting sqref="J1:L1048576">
    <cfRule type="colorScale" priority="1">
      <colorScale>
        <cfvo type="num" val="-1"/>
        <cfvo type="num" val="0"/>
        <color rgb="FFFF0000"/>
        <color theme="9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sheetPr codeName="Sheet6"/>
  <dimension ref="A1:G30"/>
  <sheetViews>
    <sheetView zoomScaleNormal="100" workbookViewId="0">
      <selection activeCell="H25" sqref="H25"/>
    </sheetView>
  </sheetViews>
  <sheetFormatPr defaultColWidth="11" defaultRowHeight="13.15" x14ac:dyDescent="0.4"/>
  <cols>
    <col min="1" max="1" width="18.5703125" style="2" bestFit="1" customWidth="1"/>
    <col min="2" max="6" width="15.42578125" style="2" customWidth="1"/>
    <col min="7" max="7" width="11" style="2"/>
    <col min="8" max="8" width="14.42578125" style="2" bestFit="1" customWidth="1"/>
    <col min="9" max="16384" width="11" style="2"/>
  </cols>
  <sheetData>
    <row r="1" spans="1:7" s="41" customFormat="1" ht="21" x14ac:dyDescent="0.65">
      <c r="A1" s="42" t="s">
        <v>54</v>
      </c>
      <c r="B1" s="41" t="s">
        <v>163</v>
      </c>
    </row>
    <row r="2" spans="1:7" s="41" customFormat="1" ht="21" x14ac:dyDescent="0.65">
      <c r="B2" s="41" t="s">
        <v>160</v>
      </c>
    </row>
    <row r="3" spans="1:7" ht="14.25" x14ac:dyDescent="0.45">
      <c r="A3" s="1"/>
      <c r="B3" s="1"/>
      <c r="C3" s="1"/>
      <c r="D3" s="1"/>
      <c r="E3" s="1"/>
      <c r="F3" s="1"/>
      <c r="G3" s="1"/>
    </row>
    <row r="4" spans="1:7" ht="23.25" x14ac:dyDescent="0.7">
      <c r="A4" s="17" t="s">
        <v>161</v>
      </c>
      <c r="B4" s="1"/>
      <c r="C4" s="1"/>
      <c r="D4" s="1"/>
      <c r="E4" s="1"/>
      <c r="F4" s="1"/>
      <c r="G4" s="1"/>
    </row>
    <row r="5" spans="1:7" ht="14.25" x14ac:dyDescent="0.45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25" x14ac:dyDescent="0.45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25" x14ac:dyDescent="0.45">
      <c r="A7" s="7" t="s">
        <v>4</v>
      </c>
      <c r="B7" s="49">
        <v>2.7</v>
      </c>
      <c r="C7" s="49">
        <v>7.6</v>
      </c>
      <c r="D7" s="49">
        <v>4.2</v>
      </c>
      <c r="E7" s="49">
        <v>8.9</v>
      </c>
      <c r="F7" s="49">
        <v>4.2</v>
      </c>
    </row>
    <row r="8" spans="1:7" ht="14.25" x14ac:dyDescent="0.45">
      <c r="A8" s="7" t="s">
        <v>7</v>
      </c>
      <c r="B8" s="49">
        <v>3.6</v>
      </c>
      <c r="C8" s="49">
        <v>11.1</v>
      </c>
      <c r="D8" s="49">
        <v>5.8</v>
      </c>
      <c r="E8" s="49">
        <v>12.2</v>
      </c>
      <c r="F8" s="49">
        <v>5.8</v>
      </c>
    </row>
    <row r="9" spans="1:7" ht="14.25" x14ac:dyDescent="0.45">
      <c r="A9" s="7" t="s">
        <v>8</v>
      </c>
      <c r="B9" s="49">
        <v>4.9000000000000004</v>
      </c>
      <c r="C9" s="49">
        <v>13.3</v>
      </c>
      <c r="D9" s="49">
        <v>8.1</v>
      </c>
      <c r="E9" s="49">
        <v>17</v>
      </c>
      <c r="F9" s="49">
        <v>8.1</v>
      </c>
    </row>
    <row r="10" spans="1:7" ht="14.25" x14ac:dyDescent="0.45">
      <c r="A10" s="7" t="s">
        <v>11</v>
      </c>
      <c r="B10" s="49">
        <v>9.4</v>
      </c>
      <c r="C10" s="49">
        <v>28.3</v>
      </c>
      <c r="D10" s="49">
        <v>16.100000000000001</v>
      </c>
      <c r="E10" s="49">
        <v>32.799999999999997</v>
      </c>
      <c r="F10" s="49">
        <v>16.100000000000001</v>
      </c>
    </row>
    <row r="11" spans="1:7" ht="14.25" x14ac:dyDescent="0.45">
      <c r="A11" s="7" t="s">
        <v>12</v>
      </c>
      <c r="B11" s="49">
        <v>11.6</v>
      </c>
      <c r="C11" s="49">
        <v>35.200000000000003</v>
      </c>
      <c r="D11" s="49">
        <v>21.3</v>
      </c>
      <c r="E11" s="49">
        <v>43</v>
      </c>
      <c r="F11" s="49">
        <v>21.3</v>
      </c>
    </row>
    <row r="12" spans="1:7" ht="14.25" x14ac:dyDescent="0.45">
      <c r="A12" s="7" t="s">
        <v>14</v>
      </c>
      <c r="B12" s="49">
        <v>18.399999999999999</v>
      </c>
      <c r="C12" s="49">
        <v>55.6</v>
      </c>
      <c r="D12" s="49">
        <v>33.799999999999997</v>
      </c>
      <c r="E12" s="49">
        <v>67.900000000000006</v>
      </c>
      <c r="F12" s="49">
        <v>33.799999999999997</v>
      </c>
    </row>
    <row r="13" spans="1:7" ht="14.25" x14ac:dyDescent="0.45">
      <c r="A13" s="7" t="s">
        <v>15</v>
      </c>
      <c r="B13" s="49">
        <v>0</v>
      </c>
      <c r="C13" s="49">
        <v>0</v>
      </c>
      <c r="D13" s="49">
        <v>0</v>
      </c>
      <c r="E13" s="49">
        <v>0</v>
      </c>
      <c r="F13" s="49">
        <v>0</v>
      </c>
    </row>
    <row r="14" spans="1:7" ht="14.25" x14ac:dyDescent="0.45">
      <c r="A14" s="7" t="s">
        <v>16</v>
      </c>
      <c r="B14" s="49">
        <v>21.9</v>
      </c>
      <c r="C14" s="49">
        <v>61.5</v>
      </c>
      <c r="D14" s="49">
        <v>40.1</v>
      </c>
      <c r="E14" s="49">
        <v>76.599999999999994</v>
      </c>
      <c r="F14" s="49">
        <v>40.1</v>
      </c>
    </row>
    <row r="15" spans="1:7" ht="14.25" x14ac:dyDescent="0.45">
      <c r="A15" s="7" t="s">
        <v>18</v>
      </c>
      <c r="B15" s="49">
        <v>26.8</v>
      </c>
      <c r="C15" s="49">
        <v>79.599999999999994</v>
      </c>
      <c r="D15" s="49">
        <v>47.9</v>
      </c>
      <c r="E15" s="49">
        <v>96.8</v>
      </c>
      <c r="F15" s="49">
        <v>47.9</v>
      </c>
    </row>
    <row r="16" spans="1:7" ht="14.25" x14ac:dyDescent="0.45">
      <c r="A16" s="7" t="s">
        <v>20</v>
      </c>
      <c r="B16" s="49">
        <v>28.5</v>
      </c>
      <c r="C16" s="49">
        <v>85.4</v>
      </c>
      <c r="D16" s="49">
        <v>52.3</v>
      </c>
      <c r="E16" s="49">
        <v>106.1</v>
      </c>
      <c r="F16" s="49">
        <v>52.3</v>
      </c>
    </row>
    <row r="17" spans="1:6" ht="14.25" x14ac:dyDescent="0.45">
      <c r="A17" s="7" t="s">
        <v>22</v>
      </c>
      <c r="B17" s="49">
        <v>30.7</v>
      </c>
      <c r="C17" s="49">
        <v>92.1</v>
      </c>
      <c r="D17" s="49">
        <v>57</v>
      </c>
      <c r="E17" s="49">
        <v>115.1</v>
      </c>
      <c r="F17" s="49">
        <v>57</v>
      </c>
    </row>
    <row r="18" spans="1:6" ht="14.25" x14ac:dyDescent="0.45">
      <c r="A18" s="7" t="s">
        <v>23</v>
      </c>
      <c r="B18" s="49">
        <v>33.799999999999997</v>
      </c>
      <c r="C18" s="49">
        <v>101.3</v>
      </c>
      <c r="D18" s="49">
        <v>61.4</v>
      </c>
      <c r="E18" s="49">
        <v>124.4</v>
      </c>
      <c r="F18" s="49">
        <v>61.4</v>
      </c>
    </row>
    <row r="19" spans="1:6" ht="14.25" x14ac:dyDescent="0.45">
      <c r="A19" s="7" t="s">
        <v>24</v>
      </c>
      <c r="B19" s="49">
        <v>34.700000000000003</v>
      </c>
      <c r="C19" s="49">
        <v>106.1</v>
      </c>
      <c r="D19" s="49">
        <v>63.6</v>
      </c>
      <c r="E19" s="49">
        <v>128.6</v>
      </c>
      <c r="F19" s="49">
        <v>63.6</v>
      </c>
    </row>
    <row r="20" spans="1:6" ht="14.25" x14ac:dyDescent="0.45">
      <c r="A20" s="7" t="s">
        <v>28</v>
      </c>
      <c r="B20" s="49">
        <v>0</v>
      </c>
      <c r="C20" s="49">
        <v>0</v>
      </c>
      <c r="D20" s="49">
        <v>0</v>
      </c>
      <c r="E20" s="49">
        <v>0</v>
      </c>
      <c r="F20" s="49">
        <v>0</v>
      </c>
    </row>
    <row r="21" spans="1:6" ht="14.25" x14ac:dyDescent="0.45">
      <c r="A21" s="7" t="s">
        <v>56</v>
      </c>
      <c r="B21" s="49">
        <v>41.3</v>
      </c>
      <c r="C21" s="49">
        <v>124.4</v>
      </c>
      <c r="D21" s="49">
        <v>75</v>
      </c>
      <c r="E21" s="49">
        <v>151.5</v>
      </c>
      <c r="F21" s="49">
        <v>75</v>
      </c>
    </row>
    <row r="22" spans="1:6" ht="14.25" x14ac:dyDescent="0.45">
      <c r="A22" s="7" t="s">
        <v>57</v>
      </c>
      <c r="B22" s="49">
        <v>-1</v>
      </c>
      <c r="C22" s="49">
        <v>-1</v>
      </c>
      <c r="D22" s="49">
        <v>-1</v>
      </c>
      <c r="E22" s="49">
        <v>-1</v>
      </c>
      <c r="F22" s="49">
        <v>-1</v>
      </c>
    </row>
    <row r="23" spans="1:6" ht="14.25" x14ac:dyDescent="0.45">
      <c r="A23" s="7" t="s">
        <v>31</v>
      </c>
      <c r="B23" s="49">
        <v>45</v>
      </c>
      <c r="C23" s="49">
        <v>133.4</v>
      </c>
      <c r="D23" s="49">
        <v>79.400000000000006</v>
      </c>
      <c r="E23" s="49">
        <v>160.9</v>
      </c>
      <c r="F23" s="49">
        <v>79.400000000000006</v>
      </c>
    </row>
    <row r="24" spans="1:6" ht="14.25" x14ac:dyDescent="0.45">
      <c r="A24" s="7" t="s">
        <v>32</v>
      </c>
      <c r="B24" s="49">
        <v>-1</v>
      </c>
      <c r="C24" s="49">
        <v>-1</v>
      </c>
      <c r="D24" s="49">
        <v>-1</v>
      </c>
      <c r="E24" s="49">
        <v>-1</v>
      </c>
      <c r="F24" s="49">
        <v>-1</v>
      </c>
    </row>
    <row r="25" spans="1:6" ht="14.25" x14ac:dyDescent="0.45">
      <c r="A25" s="7" t="s">
        <v>34</v>
      </c>
      <c r="B25" s="49">
        <v>43.3</v>
      </c>
      <c r="C25" s="49">
        <v>128.6</v>
      </c>
      <c r="D25" s="49">
        <v>79.400000000000006</v>
      </c>
      <c r="E25" s="49">
        <v>160.9</v>
      </c>
      <c r="F25" s="49">
        <v>79.400000000000006</v>
      </c>
    </row>
    <row r="26" spans="1:6" ht="14.25" x14ac:dyDescent="0.45">
      <c r="A26" s="7" t="s">
        <v>37</v>
      </c>
      <c r="B26" s="49">
        <v>49.1</v>
      </c>
      <c r="C26" s="49">
        <v>146.80000000000001</v>
      </c>
      <c r="D26" s="49">
        <v>90.9</v>
      </c>
      <c r="E26" s="49">
        <v>183.5</v>
      </c>
      <c r="F26" s="49">
        <v>90.9</v>
      </c>
    </row>
    <row r="27" spans="1:6" ht="14.25" x14ac:dyDescent="0.45">
      <c r="A27" s="7" t="s">
        <v>39</v>
      </c>
      <c r="B27" s="49">
        <v>51.8</v>
      </c>
      <c r="C27" s="49">
        <v>156.4</v>
      </c>
      <c r="D27" s="49">
        <v>93.1</v>
      </c>
      <c r="E27" s="49">
        <v>188.1</v>
      </c>
      <c r="F27" s="49">
        <v>93.1</v>
      </c>
    </row>
    <row r="28" spans="1:6" ht="14.25" x14ac:dyDescent="0.45">
      <c r="A28" s="18" t="s">
        <v>81</v>
      </c>
      <c r="B28" s="31">
        <f>MIN(B6:B27)</f>
        <v>-1</v>
      </c>
      <c r="C28" s="31">
        <f>MIN(C6:C27)</f>
        <v>-1</v>
      </c>
      <c r="D28" s="31">
        <f t="shared" ref="C28:F28" si="0">MIN(D6:D27)</f>
        <v>-1</v>
      </c>
      <c r="E28" s="31">
        <f t="shared" si="0"/>
        <v>-1</v>
      </c>
      <c r="F28" s="31">
        <f t="shared" si="0"/>
        <v>-1</v>
      </c>
    </row>
    <row r="29" spans="1:6" ht="14.25" x14ac:dyDescent="0.45">
      <c r="A29" s="18" t="s">
        <v>82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25" x14ac:dyDescent="0.45">
      <c r="A30" s="18" t="s">
        <v>83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sheetPr codeName="Sheet7"/>
  <dimension ref="A1:J54"/>
  <sheetViews>
    <sheetView zoomScaleNormal="100" workbookViewId="0">
      <selection activeCell="A54" sqref="A16:A54"/>
    </sheetView>
  </sheetViews>
  <sheetFormatPr defaultColWidth="11" defaultRowHeight="14.25" x14ac:dyDescent="0.45"/>
  <cols>
    <col min="1" max="1" width="39.78515625" style="1" bestFit="1" customWidth="1"/>
    <col min="2" max="16384" width="11" style="1"/>
  </cols>
  <sheetData>
    <row r="1" spans="1:10" s="41" customFormat="1" ht="21" x14ac:dyDescent="0.65">
      <c r="A1" s="42" t="s">
        <v>55</v>
      </c>
      <c r="B1" s="41" t="s">
        <v>173</v>
      </c>
    </row>
    <row r="2" spans="1:10" customFormat="1" ht="13.15" x14ac:dyDescent="0.4"/>
    <row r="3" spans="1:10" s="2" customFormat="1" x14ac:dyDescent="0.45">
      <c r="B3" s="1"/>
    </row>
    <row r="4" spans="1:10" s="2" customFormat="1" x14ac:dyDescent="0.45">
      <c r="B4" s="1" t="s">
        <v>150</v>
      </c>
    </row>
    <row r="5" spans="1:10" ht="18" x14ac:dyDescent="0.55000000000000004">
      <c r="A5" s="43" t="s">
        <v>52</v>
      </c>
      <c r="B5" s="40"/>
    </row>
    <row r="6" spans="1:10" ht="18" x14ac:dyDescent="0.55000000000000004">
      <c r="A6" s="43" t="s">
        <v>152</v>
      </c>
      <c r="B6" s="40"/>
    </row>
    <row r="7" spans="1:10" ht="18" x14ac:dyDescent="0.55000000000000004">
      <c r="A7" s="43"/>
      <c r="B7" s="40"/>
    </row>
    <row r="9" spans="1:10" ht="23.25" x14ac:dyDescent="0.7">
      <c r="A9" s="17" t="s">
        <v>164</v>
      </c>
      <c r="I9" s="2"/>
      <c r="J9" s="2"/>
    </row>
    <row r="10" spans="1:10" x14ac:dyDescent="0.45">
      <c r="A10" s="33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4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7">
      <c r="A14" s="17" t="s">
        <v>161</v>
      </c>
    </row>
    <row r="15" spans="1:10" x14ac:dyDescent="0.45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4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4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4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4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4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4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4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4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4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4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4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4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4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4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4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4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4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4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4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4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4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4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4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4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4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4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4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4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4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4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4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4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4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4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4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4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4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4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45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sheetPr codeName="Sheet8"/>
  <dimension ref="A1:C22"/>
  <sheetViews>
    <sheetView zoomScaleNormal="100" workbookViewId="0">
      <selection activeCell="C13" sqref="C13"/>
    </sheetView>
  </sheetViews>
  <sheetFormatPr defaultColWidth="11" defaultRowHeight="13.15" x14ac:dyDescent="0.4"/>
  <cols>
    <col min="1" max="1" width="28.2109375" style="2" bestFit="1" customWidth="1"/>
    <col min="2" max="2" width="17.78515625" style="2" bestFit="1" customWidth="1"/>
    <col min="3" max="3" width="11" style="2" bestFit="1" customWidth="1"/>
    <col min="4" max="4" width="13.2109375" style="2" bestFit="1" customWidth="1"/>
    <col min="5" max="5" width="10.78515625" style="2" bestFit="1" customWidth="1"/>
    <col min="6" max="6" width="13.42578125" style="2" bestFit="1" customWidth="1"/>
    <col min="7" max="8" width="14.5703125" style="2" bestFit="1" customWidth="1"/>
    <col min="9" max="9" width="17.78515625" style="2" bestFit="1" customWidth="1"/>
    <col min="10" max="10" width="11" style="2" bestFit="1" customWidth="1"/>
    <col min="11" max="11" width="9" style="2" bestFit="1" customWidth="1"/>
    <col min="12" max="12" width="10.78515625" style="2" bestFit="1" customWidth="1"/>
    <col min="13" max="13" width="12.42578125" style="2" bestFit="1" customWidth="1"/>
    <col min="14" max="14" width="11" style="2" bestFit="1" customWidth="1"/>
    <col min="15" max="15" width="8" style="2" bestFit="1" customWidth="1"/>
    <col min="16" max="16" width="12.42578125" style="2" bestFit="1" customWidth="1"/>
    <col min="17" max="17" width="12.5703125" style="2" bestFit="1" customWidth="1"/>
    <col min="18" max="18" width="24.2109375" style="2" bestFit="1" customWidth="1"/>
    <col min="19" max="19" width="12.5703125" style="2" bestFit="1" customWidth="1"/>
    <col min="20" max="20" width="16" style="2" bestFit="1" customWidth="1"/>
    <col min="21" max="21" width="9" style="2" bestFit="1" customWidth="1"/>
    <col min="22" max="22" width="10.78515625" style="2" bestFit="1" customWidth="1"/>
    <col min="23" max="24" width="13.42578125" style="2" bestFit="1" customWidth="1"/>
    <col min="25" max="25" width="15" style="2" bestFit="1" customWidth="1"/>
    <col min="26" max="16384" width="11" style="2"/>
  </cols>
  <sheetData>
    <row r="1" spans="1:3" ht="21" x14ac:dyDescent="0.65">
      <c r="A1" s="42" t="s">
        <v>84</v>
      </c>
      <c r="B1" s="41" t="s">
        <v>166</v>
      </c>
    </row>
    <row r="2" spans="1:3" ht="18" x14ac:dyDescent="0.55000000000000004">
      <c r="B2" s="40" t="s">
        <v>165</v>
      </c>
    </row>
    <row r="5" spans="1:3" ht="14.25" x14ac:dyDescent="0.45">
      <c r="B5" s="1" t="s">
        <v>150</v>
      </c>
    </row>
    <row r="6" spans="1:3" ht="14.25" x14ac:dyDescent="0.45">
      <c r="A6" s="3" t="s">
        <v>52</v>
      </c>
      <c r="B6" s="1"/>
    </row>
    <row r="7" spans="1:3" ht="14.25" x14ac:dyDescent="0.45">
      <c r="A7" s="3" t="s">
        <v>152</v>
      </c>
      <c r="B7" s="1"/>
    </row>
    <row r="10" spans="1:3" ht="23.25" x14ac:dyDescent="0.7">
      <c r="A10" s="17" t="s">
        <v>161</v>
      </c>
    </row>
    <row r="11" spans="1:3" ht="14.25" x14ac:dyDescent="0.45">
      <c r="A11" s="32" t="s">
        <v>85</v>
      </c>
      <c r="B11" s="16" t="s">
        <v>86</v>
      </c>
      <c r="C11" s="16" t="s">
        <v>87</v>
      </c>
    </row>
    <row r="12" spans="1:3" ht="14.25" x14ac:dyDescent="0.45">
      <c r="A12" s="32">
        <v>44927</v>
      </c>
      <c r="B12" s="16" t="s">
        <v>58</v>
      </c>
      <c r="C12" s="16">
        <v>200</v>
      </c>
    </row>
    <row r="13" spans="1:3" ht="14.25" x14ac:dyDescent="0.45">
      <c r="A13" s="32">
        <v>44928</v>
      </c>
      <c r="B13" s="16" t="s">
        <v>59</v>
      </c>
      <c r="C13" s="16" t="e">
        <v>#N/A</v>
      </c>
    </row>
    <row r="14" spans="1:3" ht="14.25" x14ac:dyDescent="0.45">
      <c r="A14" s="32">
        <v>44929</v>
      </c>
      <c r="B14" s="16" t="s">
        <v>60</v>
      </c>
      <c r="C14" s="16">
        <v>50</v>
      </c>
    </row>
    <row r="15" spans="1:3" ht="14.25" x14ac:dyDescent="0.45">
      <c r="A15" s="32">
        <v>44930</v>
      </c>
      <c r="B15" s="16" t="s">
        <v>61</v>
      </c>
      <c r="C15" s="16" t="e">
        <v>#N/A</v>
      </c>
    </row>
    <row r="16" spans="1:3" ht="14.25" x14ac:dyDescent="0.45">
      <c r="A16" s="32">
        <v>44931</v>
      </c>
      <c r="B16" s="16" t="s">
        <v>62</v>
      </c>
      <c r="C16" s="16">
        <v>10</v>
      </c>
    </row>
    <row r="17" spans="1:3" ht="14.25" x14ac:dyDescent="0.45">
      <c r="A17" s="32">
        <v>44932</v>
      </c>
      <c r="B17" s="16" t="s">
        <v>153</v>
      </c>
      <c r="C17" s="16">
        <v>150</v>
      </c>
    </row>
    <row r="18" spans="1:3" ht="14.25" x14ac:dyDescent="0.45">
      <c r="A18" s="32">
        <v>44933</v>
      </c>
      <c r="B18" s="16" t="s">
        <v>154</v>
      </c>
      <c r="C18" s="16">
        <v>80</v>
      </c>
    </row>
    <row r="19" spans="1:3" ht="14.25" x14ac:dyDescent="0.45">
      <c r="A19" s="32">
        <v>44934</v>
      </c>
      <c r="B19" s="16" t="s">
        <v>155</v>
      </c>
      <c r="C19" s="16" t="e">
        <v>#N/A</v>
      </c>
    </row>
    <row r="20" spans="1:3" ht="14.25" x14ac:dyDescent="0.45">
      <c r="A20" s="32">
        <v>44935</v>
      </c>
      <c r="B20" s="16" t="s">
        <v>156</v>
      </c>
      <c r="C20" s="16">
        <v>30</v>
      </c>
    </row>
    <row r="21" spans="1:3" ht="14.25" x14ac:dyDescent="0.45">
      <c r="A21" s="32">
        <v>44936</v>
      </c>
      <c r="B21" s="16" t="s">
        <v>157</v>
      </c>
      <c r="C21" s="16" t="e">
        <v>#N/A</v>
      </c>
    </row>
    <row r="22" spans="1:3" ht="14.25" x14ac:dyDescent="0.45">
      <c r="B22" s="16" t="s">
        <v>158</v>
      </c>
      <c r="C22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sheetPr codeName="Sheet9"/>
  <dimension ref="A1:N35"/>
  <sheetViews>
    <sheetView tabSelected="1" topLeftCell="A6" zoomScaleNormal="100" workbookViewId="0">
      <selection activeCell="E23" sqref="E23"/>
    </sheetView>
  </sheetViews>
  <sheetFormatPr defaultColWidth="11" defaultRowHeight="13.15" x14ac:dyDescent="0.4"/>
  <cols>
    <col min="1" max="1" width="28.2109375" style="2" bestFit="1" customWidth="1"/>
    <col min="2" max="16384" width="11" style="2"/>
  </cols>
  <sheetData>
    <row r="1" spans="1:14" ht="21" x14ac:dyDescent="0.65">
      <c r="A1" s="42" t="s">
        <v>97</v>
      </c>
      <c r="B1" s="41" t="s">
        <v>174</v>
      </c>
    </row>
    <row r="3" spans="1:14" ht="14.25" x14ac:dyDescent="0.45">
      <c r="B3" s="1" t="s">
        <v>150</v>
      </c>
    </row>
    <row r="4" spans="1:14" ht="18" x14ac:dyDescent="0.55000000000000004">
      <c r="A4" s="43" t="s">
        <v>52</v>
      </c>
      <c r="B4" s="1"/>
    </row>
    <row r="5" spans="1:14" ht="18" x14ac:dyDescent="0.55000000000000004">
      <c r="A5" s="43" t="s">
        <v>152</v>
      </c>
      <c r="B5" s="1"/>
    </row>
    <row r="6" spans="1:14" ht="14.25" x14ac:dyDescent="0.45">
      <c r="A6" s="3"/>
      <c r="B6" s="1"/>
    </row>
    <row r="8" spans="1:14" ht="23.25" x14ac:dyDescent="0.7">
      <c r="A8" s="17" t="s">
        <v>161</v>
      </c>
      <c r="M8" s="17" t="s">
        <v>162</v>
      </c>
    </row>
    <row r="9" spans="1:14" ht="14.25" x14ac:dyDescent="0.4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25" x14ac:dyDescent="0.4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25" x14ac:dyDescent="0.4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25" x14ac:dyDescent="0.4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25" x14ac:dyDescent="0.4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25" x14ac:dyDescent="0.4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25" x14ac:dyDescent="0.4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25" x14ac:dyDescent="0.4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25" x14ac:dyDescent="0.4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25" x14ac:dyDescent="0.4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25" x14ac:dyDescent="0.7">
      <c r="A21" s="17" t="s">
        <v>167</v>
      </c>
    </row>
    <row r="22" spans="1:14" ht="14.25" x14ac:dyDescent="0.45">
      <c r="A22" s="13" t="s">
        <v>99</v>
      </c>
      <c r="B22" s="16" t="s">
        <v>100</v>
      </c>
      <c r="C22" s="15" t="s">
        <v>101</v>
      </c>
    </row>
    <row r="23" spans="1:14" ht="14.25" x14ac:dyDescent="0.45">
      <c r="A23" s="7">
        <v>10100</v>
      </c>
      <c r="B23" s="11">
        <v>10102</v>
      </c>
      <c r="C23" s="44"/>
    </row>
    <row r="24" spans="1:14" ht="14.25" x14ac:dyDescent="0.45">
      <c r="A24" s="7">
        <v>10100</v>
      </c>
      <c r="B24" s="11">
        <v>10104</v>
      </c>
      <c r="C24" s="44"/>
    </row>
    <row r="25" spans="1:14" ht="14.25" x14ac:dyDescent="0.45">
      <c r="A25" s="7">
        <v>10108</v>
      </c>
      <c r="B25" s="11">
        <v>10102</v>
      </c>
      <c r="C25" s="44"/>
    </row>
    <row r="26" spans="1:14" ht="14.25" x14ac:dyDescent="0.45">
      <c r="A26" s="7">
        <v>10100</v>
      </c>
      <c r="B26" s="11">
        <v>10106</v>
      </c>
      <c r="C26" s="44"/>
    </row>
    <row r="27" spans="1:14" ht="14.25" x14ac:dyDescent="0.45">
      <c r="A27" s="7">
        <v>10108</v>
      </c>
      <c r="B27" s="11">
        <v>10110</v>
      </c>
      <c r="C27" s="44"/>
    </row>
    <row r="28" spans="1:14" ht="14.25" x14ac:dyDescent="0.45">
      <c r="A28" s="7">
        <v>10102</v>
      </c>
      <c r="B28" s="11">
        <v>10104</v>
      </c>
      <c r="C28" s="44"/>
    </row>
    <row r="29" spans="1:14" ht="14.25" x14ac:dyDescent="0.45">
      <c r="A29" s="7">
        <v>10106</v>
      </c>
      <c r="B29" s="11">
        <v>10108</v>
      </c>
      <c r="C29" s="44"/>
    </row>
    <row r="30" spans="1:14" ht="14.25" x14ac:dyDescent="0.45">
      <c r="A30" s="7">
        <v>10102</v>
      </c>
      <c r="B30" s="11">
        <v>10106</v>
      </c>
      <c r="C30" s="44"/>
    </row>
    <row r="31" spans="1:14" ht="14.25" x14ac:dyDescent="0.45">
      <c r="A31" s="7">
        <v>10110</v>
      </c>
      <c r="B31" s="11">
        <v>10114</v>
      </c>
      <c r="C31" s="44"/>
    </row>
    <row r="32" spans="1:14" ht="14.25" x14ac:dyDescent="0.45">
      <c r="A32" s="7">
        <v>10104</v>
      </c>
      <c r="B32" s="11">
        <v>10106</v>
      </c>
      <c r="C32" s="44"/>
    </row>
    <row r="33" spans="1:3" ht="14.25" x14ac:dyDescent="0.45">
      <c r="A33" s="7">
        <v>10110</v>
      </c>
      <c r="B33" s="11">
        <v>10112</v>
      </c>
      <c r="C33" s="44"/>
    </row>
    <row r="34" spans="1:3" ht="14.25" x14ac:dyDescent="0.45">
      <c r="A34" s="7">
        <v>10100</v>
      </c>
      <c r="B34" s="11">
        <v>10114</v>
      </c>
      <c r="C34" s="44"/>
    </row>
    <row r="35" spans="1:3" ht="14.25" x14ac:dyDescent="0.45">
      <c r="A35" s="8">
        <v>10112</v>
      </c>
      <c r="B35" s="12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 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Mohit Bhargav</cp:lastModifiedBy>
  <dcterms:created xsi:type="dcterms:W3CDTF">2015-02-10T17:33:11Z</dcterms:created>
  <dcterms:modified xsi:type="dcterms:W3CDTF">2023-12-10T17:33:02Z</dcterms:modified>
</cp:coreProperties>
</file>